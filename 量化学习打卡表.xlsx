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680" windowHeight="14640"/>
  </bookViews>
  <sheets>
    <sheet name="学习打卡表" sheetId="1" r:id="rId1"/>
    <sheet name="进度统计" sheetId="2" r:id="rId2"/>
    <sheet name="使用说明" sheetId="3" r:id="rId3"/>
  </sheets>
  <definedNames>
    <definedName name="_xlnm._FilterDatabase" localSheetId="0" hidden="1">学习打卡表!$A$1:$M$35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<sst xmlns="http://schemas.openxmlformats.org/spreadsheetml/2006/main" count="445" uniqueCount="212">
  <si>
    <t>阶段</t>
  </si>
  <si>
    <t>模块</t>
  </si>
  <si>
    <t>序号</t>
  </si>
  <si>
    <t>主题</t>
  </si>
  <si>
    <t>理论学习内容 (2h)</t>
  </si>
  <si>
    <t>实战任务 (3h)</t>
  </si>
  <si>
    <t>验收标准</t>
  </si>
  <si>
    <t>计划日期</t>
  </si>
  <si>
    <t>完成日期</t>
  </si>
  <si>
    <t>完成度
(1-5)</t>
  </si>
  <si>
    <t>遇到问题</t>
  </si>
  <si>
    <t>解决方案</t>
  </si>
  <si>
    <t>备注</t>
  </si>
  <si>
    <t>预备阶段</t>
  </si>
  <si>
    <t>环境与前置</t>
  </si>
  <si>
    <t>环境准备</t>
  </si>
  <si>
    <t>安装Anaconda/Miniconda，配置Jupyter Notebook和VS Code</t>
  </si>
  <si>
    <t>注册GitHub账号，创建第一个仓库，学习git clone/add/commit/push</t>
  </si>
  <si>
    <t>✓ Jupyter能正常运行
✓ GitHub仓库创建成功
✓ 能完成一次完整提交</t>
  </si>
  <si>
    <t/>
  </si>
  <si>
    <t>✅</t>
  </si>
  <si>
    <t>前置知识补课</t>
  </si>
  <si>
    <t>线性代数补强</t>
  </si>
  <si>
    <t>3Blue1Brown《Essence of Linear Algebra》视频</t>
  </si>
  <si>
    <t>手算矩阵乘法、特征值分解，用NumPy验证</t>
  </si>
  <si>
    <t>✓ 理解矩阵乘法的几何意义
✓ 能手工计算2x2特征值</t>
  </si>
  <si>
    <t>概率统计补强</t>
  </si>
  <si>
    <t>《Seeing Theory》可视化网站 + 复习OLS回归</t>
  </si>
  <si>
    <t>用Python验证中心极限定理（掷骰子实验）</t>
  </si>
  <si>
    <t>✓ 理解正态分布和CLT
✓ 能手写OLS回归的矩阵解</t>
  </si>
  <si>
    <t>金融基础复习</t>
  </si>
  <si>
    <t>复习CAPM直觉、期权基本概念</t>
  </si>
  <si>
    <t>阅读一篇量化策略研报，标注不懂的概念</t>
  </si>
  <si>
    <t>✓ 能解释CAPM的经济直觉
✓ 能区分Call/Put的基本payoff</t>
  </si>
  <si>
    <t>第1阶段
Python数据科学栈</t>
  </si>
  <si>
    <t>模块1.1
NumPy基础</t>
  </si>
  <si>
    <t>NumPy数组运算
与向量化</t>
  </si>
  <si>
    <t>ndarray内存布局、逐元素运算、广播机制</t>
  </si>
  <si>
    <t>分析一组股票日收益率：计算均值/标准差/相关性矩阵，用向量化代替for循环</t>
  </si>
  <si>
    <t>✓ 理解list vs np.array性能差异
✓ 能用广播替代显式循环
✓ 代码中无手动for循环</t>
  </si>
  <si>
    <t>随机数生成
与模拟基础</t>
  </si>
  <si>
    <t>Generator API、uniform/normal/integers、种子与可复现性</t>
  </si>
  <si>
    <t>模拟10000次掷骰子实验，绘制频率分布直方图，用MC估算pi值</t>
  </si>
  <si>
    <t>✓ 会用default_rng()
✓ 理解种子的作用
✓ 能解释MC模拟原理</t>
  </si>
  <si>
    <t>模块1.2
Pandas基础</t>
  </si>
  <si>
    <t>DataFrame基础
与时间序列</t>
  </si>
  <si>
    <t>创建与索引、时间序列处理、resample/rolling</t>
  </si>
  <si>
    <t>用AKShare下载沪深300数据，计算5/20/60日均线，计算滚动波动率</t>
  </si>
  <si>
    <t>✓ 能处理缺失值和异常值
✓ 理解resample vs rolling
✓ 能画出均线叠加图</t>
  </si>
  <si>
    <t>数据清洗
与合并</t>
  </si>
  <si>
    <t>groupby/merge、pivot_table、缺失值处理策略</t>
  </si>
  <si>
    <t>下载各行业成分股财务数据，计算行业平均PE/PB/ROE，制作行业估值对比表</t>
  </si>
  <si>
    <t>✓ 能用groupby做聚合
✓ 理解inner/outer merge
✓ 数据清洗后无空值</t>
  </si>
  <si>
    <t>实战数据源
AKShare/Tushare</t>
  </si>
  <si>
    <t>AKShare接口调用、数据本地存储(SQLite/Parquet)</t>
  </si>
  <si>
    <t>拉取A股全市场日行情，存入SQLite数据库，编写可复用工具函数</t>
  </si>
  <si>
    <t>✓ 能从AKShare获取至少5种数据
✓ 数据持久化到本地
✓ 代码封装成可复用函数</t>
  </si>
  <si>
    <t>模块1.3
可视化统计</t>
  </si>
  <si>
    <t>Matplotlib
金融图表</t>
  </si>
  <si>
    <t>K线图、收益率分布、多子图布局、中文显示配置</t>
  </si>
  <si>
    <t>绘制某股票2年K线+成交量，叠加均线和布林带，标注最大回撤区间</t>
  </si>
  <si>
    <t>✓ 图表有完整标签和图例
✓ 中文正常显示
✓ 保存为高清PNG</t>
  </si>
  <si>
    <t>SciPy
统计分析</t>
  </si>
  <si>
    <t>正态性检验(JB/KS)、t检验、线性回归、相关系数显著性</t>
  </si>
  <si>
    <t>检验上证指数收益率是否服从正态分布，分析行业间相关性</t>
  </si>
  <si>
    <t>✓ 能解释P值的含义
✓ 理解检验的前提假设
✓ 能判断相关性是否显著</t>
  </si>
  <si>
    <t>阶段项目1</t>
  </si>
  <si>
    <t>股票筛选器</t>
  </si>
  <si>
    <t>整合NumPy+Pandas+可视化技能</t>
  </si>
  <si>
    <t>用Pandas+AKShare构建多条件股票筛选器：PE阈值/ROE阈值/市值/行业。导出Excel+行业饼图+PE/ROE散点图</t>
  </si>
  <si>
    <t>✓ README清晰(目的/用法/依赖)
✓ 至少3个行业的结果
✓ 图表有业务解读
✓ 上传GitHub</t>
  </si>
  <si>
    <t>第2阶段
金融理论与模型</t>
  </si>
  <si>
    <t>模块2.1
因子模型</t>
  </si>
  <si>
    <t>CAPM与Beta</t>
  </si>
  <si>
    <t>CAPM推导与假设、Beta的经济含义、Alpha的判断标准</t>
  </si>
  <si>
    <t>计算50ETF成分股Beta，按Beta分高/中/低三组，对比各组实际收益</t>
  </si>
  <si>
    <t>✓ 能用滚动窗口估计Beta
✓ 理解Beta的时变性
✓ 能解释Alpha的来源</t>
  </si>
  <si>
    <t>Fama-French
三因子模型</t>
  </si>
  <si>
    <t>规模因子SMB、价值因子HML、因子收益率计算</t>
  </si>
  <si>
    <t>用Python实现SMB/HML构建，对某组合做三因子回归，判断各因子显著性</t>
  </si>
  <si>
    <t>✓ 能手工构建因子
✓ 理解做多/做空的构建逻辑
✓ 能读取回归结果(t值,R2)</t>
  </si>
  <si>
    <t>Fama-French
五因子模型</t>
  </si>
  <si>
    <t>盈利因子RMW、投资因子CMA、三因子vs五因子对比</t>
  </si>
  <si>
    <t>实现五因子回归，对比三因子和五因子的解释力差异(调整R2)</t>
  </si>
  <si>
    <t>✓ 能解释为什么需要五因子
✓ 理解每个因子的经济学故事
✓ 不做机械调包</t>
  </si>
  <si>
    <t>模块2.2
期权定价</t>
  </si>
  <si>
    <t>BS公式
与 Greeks</t>
  </si>
  <si>
    <t>BS公式形式与假设、Delta/Gamma/Theta/Vega/Rho、Put-Call Parity</t>
  </si>
  <si>
    <t>手写BS公式函数(不用现成库)，绘制各Greeks随标的价格变化的曲线</t>
  </si>
  <si>
    <t>✓ 能不用库写出BS定价
✓ 能解释每个Greek的金融意义
✓ 理解Greeks曲线的形状</t>
  </si>
  <si>
    <t>蒙特卡洛
期权定价</t>
  </si>
  <si>
    <t>随机路径生成、方差缩减技术、收敛性分析</t>
  </si>
  <si>
    <t>用MC模拟欧式期权价格，对比BS解析解，画出收敛曲线</t>
  </si>
  <si>
    <t>✓ 能模拟资产价格路径
✓ 理解标准误差与sqrt(n)
✓ 能用对偶变量做方差缩减</t>
  </si>
  <si>
    <t>MC进阶
亚式期权</t>
  </si>
  <si>
    <t>亚式期权payoff、算术vs几何平均、路径依赖特征</t>
  </si>
  <si>
    <t>用MC定价亚式看涨期权，对比不同观察频率(日均/周均/月均)的影响</t>
  </si>
  <si>
    <t>✓ 能处理路径依赖期权
✓ 理解MC对复杂衍生品的优势</t>
  </si>
  <si>
    <t>模块2.3
风控与优化</t>
  </si>
  <si>
    <t>VaR / CVaR</t>
  </si>
  <si>
    <t>历史模拟法、参数法、蒙特卡洛法、CVaR的优势</t>
  </si>
  <si>
    <t>用三种方法计算某股票组合95% VaR，对比结果并分析差异</t>
  </si>
  <si>
    <t>✓ 能手算VaR验证代码
✓ 理解VaR的局限性
✓ 能解释CVaR为什么更优</t>
  </si>
  <si>
    <t>Markowitz
均值方差优化</t>
  </si>
  <si>
    <t>有效前沿、最大夏普比组合、最小方差组合</t>
  </si>
  <si>
    <t>用PyPortfolioOpt构建5只股票的有效前沿，找到最优组合权重</t>
  </si>
  <si>
    <t>✓ 能用解析+数值两种方法
✓ 理解约束条件的影响
✓ 能解释分散化原理</t>
  </si>
  <si>
    <t>阶段项目2</t>
  </si>
  <si>
    <t>组合优化器</t>
  </si>
  <si>
    <t>整合CAPM+因子+优化技能</t>
  </si>
  <si>
    <t>构建完整组合优化工具：选5-10只股-&gt;有效前沿-&gt;最优权重-&gt;回溯表现。输出权重饼图+有效前沿+与等权对比</t>
  </si>
  <si>
    <t>✓ 能解释选股逻辑
✓ 约束条件有业务含义
✓ 优化结果有业务解读
✓ 上传GitHub</t>
  </si>
  <si>
    <t>第3阶段
策略开发与回测</t>
  </si>
  <si>
    <t>模块3.1
策略实现</t>
  </si>
  <si>
    <t>均线策略
与参数优化</t>
  </si>
  <si>
    <t>金叉死叉原理、参数优化的陷阱、样本内vs样本外</t>
  </si>
  <si>
    <t>用vectorbt实现双均线策略，对参数组合做网格搜索，绘制夏普比热力图</t>
  </si>
  <si>
    <t>✓ 能区分样本内和样本外
✓ 理解参数越多过拟合风险越大
✓ 不做没有止损的裸策略</t>
  </si>
  <si>
    <t>动量与均值
回归策略</t>
  </si>
  <si>
    <t>Jegadeesh-Titman动量、布林带策略、RSI策略</t>
  </si>
  <si>
    <t>实现动量策略和布林带均值回归策略，对比夏普比和最大回撤</t>
  </si>
  <si>
    <t>✓ 能解释动量的金融逻辑
✓ 理解动量崩溃风险
✓ 策略含仓位管理和止损</t>
  </si>
  <si>
    <t>模块3.2
回测框架</t>
  </si>
  <si>
    <t>backtrader
事件驱动回测</t>
  </si>
  <si>
    <t>事件驱动vs向量化、订单类型与撮合、手续费与滑点</t>
  </si>
  <si>
    <t>用backtrader复现双均线，添加0.1%手续费，对比扣费前后表现</t>
  </si>
  <si>
    <t>✓ 能用两种框架实现同一策略
✓ 理解交易成本的影响
✓ 明白撮合逻辑的影响</t>
  </si>
  <si>
    <t>因子构建
与检验</t>
  </si>
  <si>
    <t>估值/动量/质量因子、IC/IR的计算、因子正交化</t>
  </si>
  <si>
    <t>每类构建1-2个因子，计算因子IC序列和IR，测试因子稳定性</t>
  </si>
  <si>
    <t>✓ 能解释IC和IR的含义
✓ 理解因子衰减现象
✓ 知道因子拥挤的风险</t>
  </si>
  <si>
    <t>回测陷阱专题</t>
  </si>
  <si>
    <t>幸存者偏差、前视偏差、过拟合识别</t>
  </si>
  <si>
    <t>写出至少3个回测好看实盘拉胯的代码案例，并解释原因</t>
  </si>
  <si>
    <t>✓ 能识别至少5种回测陷阱
✓ 知道如何避免每种陷阱
✓ 养成质疑回测结果的习惯</t>
  </si>
  <si>
    <t>模块3.3
绩效归因</t>
  </si>
  <si>
    <t>绩效归因分析</t>
  </si>
  <si>
    <t>Brinson归因、因子归因、择时vs选股</t>
  </si>
  <si>
    <t>对自己策略做归因分析，拆解收益来源，识别优势和劣势</t>
  </si>
  <si>
    <t>✓ 能拆解策略的收益来源
✓ 理解运气和能力的区别
✓ 能写一份像样的归因报告</t>
  </si>
  <si>
    <t>阶段项目3</t>
  </si>
  <si>
    <t>策略研究报告</t>
  </si>
  <si>
    <t>整合策略+回测+归因技能</t>
  </si>
  <si>
    <t>选1-2个策略，完成全流程：逻辑-&gt;参数-&gt;回测-&gt;风控-&gt;归因-&gt;报告。Jupyter Notebook+PDF报告</t>
  </si>
  <si>
    <t>✓ 有样本内外划分
✓ 考虑手续费和滑点
✓ 对比基准(如买入持有)
✓ 讨论局限性和适用条件
✓ 上传GitHub</t>
  </si>
  <si>
    <t>第4阶段
进阶专题</t>
  </si>
  <si>
    <t>模块4.1
ML量化</t>
  </si>
  <si>
    <t>特征工程
与数据准备</t>
  </si>
  <si>
    <t>数据清洗标准化、缺失值处理策略、特征构造方法</t>
  </si>
  <si>
    <t>准备50+因子数据集，做缺失值填充和标准化，划分训练/验证/测试集</t>
  </si>
  <si>
    <t>✓ 知道数据划分的时间顺序要求
✓ 能说出至少3种缺失值处理策略
✓ 特征已做去极值和标准化</t>
  </si>
  <si>
    <t>XGBoost/
LightGBM</t>
  </si>
  <si>
    <t>树模型原理直觉、参数调优方法、特征重要性</t>
  </si>
  <si>
    <t>训练股票涨跌分类器，用交叉验证调参，分析最重要的预测因子</t>
  </si>
  <si>
    <t>✓ 能解释树模型基本原理
✓ 知道过拟合的识别和应对
✓ 能解读特征重要性排序</t>
  </si>
  <si>
    <t>QLib框架入门</t>
  </si>
  <si>
    <t>QLib架构：Data/Model/Strategy/Executor</t>
  </si>
  <si>
    <t>用QLib跑完整流水线：数据-&gt;因子-&gt;模型-&gt;回测，对比传统因子和ML因子</t>
  </si>
  <si>
    <t>✓ 理解QLib模块化设计
✓ 能跑通一个完整流程
✓ 知道ML量化的优势和局限</t>
  </si>
  <si>
    <t>模块4.2
回测与风控</t>
  </si>
  <si>
    <t>手写回测引擎</t>
  </si>
  <si>
    <t>回测系统核心组件、撮合逻辑、订单管理、绩效计算</t>
  </si>
  <si>
    <t>从零写mini回测引擎，支持限价单和市价单，计算夏普比和最大回撤</t>
  </si>
  <si>
    <t>✓ 能解释回测引擎每个组件
✓ 手写撮合逻辑
✓ 不依赖任何回测库</t>
  </si>
  <si>
    <t>风控系统设计</t>
  </si>
  <si>
    <t>凯利公式、ATR动态止损、最大回撤限制</t>
  </si>
  <si>
    <t>实现凯利公式仓位管理，实现ATR动态止损，回测对比有无风控的差异</t>
  </si>
  <si>
    <t>✓ 理解凯利公式的假设和局限
✓ 能用ATR做自适应止损
✓ 风控影响可视化</t>
  </si>
  <si>
    <t>终极项目</t>
  </si>
  <si>
    <t>量化策略全流程
(面试级项目)</t>
  </si>
  <si>
    <t>综合全部技能</t>
  </si>
  <si>
    <t>选方向(多因子/轮动/配对/期权/自选)，完成：策略逻辑-&gt;数据-&gt;回测-&gt;风控-&gt;归因-&gt;文档。Jupyter+README+研报PDF</t>
  </si>
  <si>
    <t>✓ 策略有经济直觉(非数据挖掘)
✓ 严格避免回测陷阱
✓ 含仓位管理和止损
✓ 有归因分析
✓ 文档完整(GitHub)</t>
  </si>
  <si>
    <t>总任务数</t>
  </si>
  <si>
    <t>已完成</t>
  </si>
  <si>
    <t>进行中</t>
  </si>
  <si>
    <t>未开始</t>
  </si>
  <si>
    <t>完成率</t>
  </si>
  <si>
    <t>平均完成度</t>
  </si>
  <si>
    <t>第1阶段 Python数据科学栈</t>
  </si>
  <si>
    <t>第2阶段 金融理论与模型</t>
  </si>
  <si>
    <t>第3阶段 策略开发与回测</t>
  </si>
  <si>
    <t>第4阶段 进阶专题与终极项目</t>
  </si>
  <si>
    <t>合计</t>
  </si>
  <si>
    <t>Python金融量化学习打卡表 - 使用说明</t>
  </si>
  <si>
    <t>【打卡表 (Sheet1) 使用方式】</t>
  </si>
  <si>
    <t>1. 每完成一个学习任务，在「完成日期」列填入日期</t>
  </si>
  <si>
    <t>2. 「完成度」评分标准：</t>
  </si>
  <si>
    <t xml:space="preserve">   1分 = 粗略看过，没动手</t>
  </si>
  <si>
    <t xml:space="preserve">   2分 = 动手了但没跑通代码</t>
  </si>
  <si>
    <t xml:space="preserve">   3分 = 代码跑通了但不太理解</t>
  </si>
  <si>
    <t xml:space="preserve">   4分 = 理解了且代码跑通</t>
  </si>
  <si>
    <t xml:space="preserve">   5分 = 完全掌握，能给他人讲解</t>
  </si>
  <si>
    <t>3. 遇到问题填入「遇到问题」列，解决后填入「解决方案」</t>
  </si>
  <si>
    <t>4. 每周回顾一次，更新完成度和备注</t>
  </si>
  <si>
    <t>【进度统计 (Sheet2) 使用方式】</t>
  </si>
  <si>
    <t>1. 各阶段的「已完成/进行中/未开始」数量需要手动更新</t>
  </si>
  <si>
    <t>2. 完成率和平均完成度会自动计算</t>
  </si>
  <si>
    <t>3. 每周更新一次，观察整体进度</t>
  </si>
  <si>
    <t>【建议节奏】</t>
  </si>
  <si>
    <t>- 每天保证2h理论 + 3h实战（共5h）</t>
  </si>
  <si>
    <t>- 每周5天学习 + 1天缓冲 + 1天休息</t>
  </si>
  <si>
    <t>- 如果某天任务完不成，顺延即可，不要赶进度</t>
  </si>
  <si>
    <t>- 项目比进度重要——项目没完成不要强行进入下一阶段</t>
  </si>
  <si>
    <t>【阶段预估时间】</t>
  </si>
  <si>
    <t>- 预备阶段：1-5天（按需补课）</t>
  </si>
  <si>
    <t>- 第1阶段：10-14天</t>
  </si>
  <si>
    <t>- 第2阶段：14-18天（理论最重的阶段）</t>
  </si>
  <si>
    <t>- 第3阶段：12-16天</t>
  </si>
  <si>
    <t>- 第4阶段：14-20天</t>
  </si>
  <si>
    <t>- 总计：约51-73天，弹性范围8-12周</t>
  </si>
  <si>
    <t>生成日期：2026年05月28日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</si>
</sst>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yyyy&quot;年&quot;m&quot;月&quot;d&quot;日&quot;;@"/>
  </numFmts>
  <fonts count="26">
    <font>
      <sz val="11"/>
      <color theme="1"/>
      <name val="宋体"/>
      <charset val="134"/>
      <scheme val="minor"/>
    </font>
    <font>
      <b/>
      <sz val="14"/>
      <color rgb="FF1F3864"/>
      <name val="微软雅黑"/>
      <charset val="134"/>
    </font>
    <font>
      <sz val="10"/>
      <name val="微软雅黑"/>
      <charset val="134"/>
    </font>
    <font>
      <b/>
      <sz val="11"/>
      <color rgb="FF1F3864"/>
      <name val="微软雅黑"/>
      <charset val="134"/>
    </font>
    <font>
      <b/>
      <sz val="11"/>
      <color rgb="FFFFFFFF"/>
      <name val="微软雅黑"/>
      <charset val="134"/>
    </font>
    <font>
      <sz val="10"/>
      <name val="宋体-简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76" fontId="2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76" fontId="3" fillId="0" borderId="1" xfId="0" applyNumberFormat="1" applyFont="1" applyBorder="1" applyAlignment="1">
      <alignment horizontal="center" vertical="top" wrapText="1"/>
    </xf>
    <xf numFmtId="177" fontId="0" fillId="0" borderId="0" xfId="0" applyNumberFormat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tabSelected="1" workbookViewId="0">
      <pane ySplit="1" topLeftCell="A2" activePane="bottomLeft" state="frozen"/>
      <selection/>
      <selection pane="bottomLeft" activeCell="H8" sqref="H8"/>
    </sheetView>
  </sheetViews>
  <sheetFormatPr defaultColWidth="9" defaultRowHeight="16.8"/>
  <cols>
    <col min="1" max="1" width="14" customWidth="1"/>
    <col min="2" max="2" width="18" customWidth="1"/>
    <col min="3" max="3" width="6" customWidth="1"/>
    <col min="4" max="4" width="16" customWidth="1"/>
    <col min="5" max="5" width="30" customWidth="1"/>
    <col min="6" max="7" width="32" customWidth="1"/>
    <col min="8" max="8" width="15.8653846153846" style="9" customWidth="1"/>
    <col min="9" max="9" width="12" customWidth="1"/>
    <col min="10" max="10" width="8" style="10" customWidth="1"/>
    <col min="11" max="12" width="22" customWidth="1"/>
    <col min="13" max="13" width="16" customWidth="1"/>
  </cols>
  <sheetData>
    <row r="1" ht="35" customHeight="1" spans="1:1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</row>
    <row r="2" ht="60" customHeight="1" spans="1:13">
      <c r="A2" s="13" t="s">
        <v>13</v>
      </c>
      <c r="B2" s="14" t="s">
        <v>14</v>
      </c>
      <c r="C2" s="14">
        <v>1</v>
      </c>
      <c r="D2" s="14" t="s">
        <v>15</v>
      </c>
      <c r="E2" s="14" t="s">
        <v>16</v>
      </c>
      <c r="F2" s="14" t="s">
        <v>17</v>
      </c>
      <c r="G2" s="14" t="s">
        <v>18</v>
      </c>
      <c r="H2" s="15" t="s">
        <v>19</v>
      </c>
      <c r="I2" s="14" t="s">
        <v>19</v>
      </c>
      <c r="J2" s="16" t="s">
        <v>20</v>
      </c>
      <c r="K2" s="14" t="s">
        <v>19</v>
      </c>
      <c r="L2" s="14" t="s">
        <v>19</v>
      </c>
      <c r="M2" s="14" t="s">
        <v>19</v>
      </c>
    </row>
    <row r="3" ht="60" customHeight="1" spans="1:13">
      <c r="A3" s="17"/>
      <c r="B3" s="14" t="s">
        <v>21</v>
      </c>
      <c r="C3" s="14">
        <v>2</v>
      </c>
      <c r="D3" s="14" t="s">
        <v>22</v>
      </c>
      <c r="E3" s="14" t="s">
        <v>23</v>
      </c>
      <c r="F3" s="14" t="s">
        <v>24</v>
      </c>
      <c r="G3" s="14" t="s">
        <v>25</v>
      </c>
      <c r="H3" s="15" t="s">
        <v>19</v>
      </c>
      <c r="I3" s="14" t="s">
        <v>19</v>
      </c>
      <c r="J3" s="16" t="s">
        <v>20</v>
      </c>
      <c r="K3" s="14" t="s">
        <v>19</v>
      </c>
      <c r="L3" s="14" t="s">
        <v>19</v>
      </c>
      <c r="M3" s="14" t="s">
        <v>19</v>
      </c>
    </row>
    <row r="4" ht="60" customHeight="1" spans="1:13">
      <c r="A4" s="17"/>
      <c r="B4" s="14" t="s">
        <v>21</v>
      </c>
      <c r="C4" s="14">
        <v>3</v>
      </c>
      <c r="D4" s="14" t="s">
        <v>26</v>
      </c>
      <c r="E4" s="14" t="s">
        <v>27</v>
      </c>
      <c r="F4" s="14" t="s">
        <v>28</v>
      </c>
      <c r="G4" s="14" t="s">
        <v>29</v>
      </c>
      <c r="H4" s="15" t="s">
        <v>19</v>
      </c>
      <c r="I4" s="14" t="s">
        <v>19</v>
      </c>
      <c r="J4" s="16" t="s">
        <v>20</v>
      </c>
      <c r="K4" s="14" t="s">
        <v>19</v>
      </c>
      <c r="L4" s="14" t="s">
        <v>19</v>
      </c>
      <c r="M4" s="14" t="s">
        <v>19</v>
      </c>
    </row>
    <row r="5" ht="60" customHeight="1" spans="1:13">
      <c r="A5" s="18"/>
      <c r="B5" s="14" t="s">
        <v>21</v>
      </c>
      <c r="C5" s="14">
        <v>4</v>
      </c>
      <c r="D5" s="14" t="s">
        <v>30</v>
      </c>
      <c r="E5" s="14" t="s">
        <v>31</v>
      </c>
      <c r="F5" s="14" t="s">
        <v>32</v>
      </c>
      <c r="G5" s="14" t="s">
        <v>33</v>
      </c>
      <c r="H5" s="15" t="s">
        <v>19</v>
      </c>
      <c r="I5" s="14" t="s">
        <v>19</v>
      </c>
      <c r="J5" s="16" t="s">
        <v>20</v>
      </c>
      <c r="K5" s="14" t="s">
        <v>19</v>
      </c>
      <c r="L5" s="14" t="s">
        <v>19</v>
      </c>
      <c r="M5" s="14" t="s">
        <v>19</v>
      </c>
    </row>
    <row r="6" ht="60" customHeight="1" spans="1:13">
      <c r="A6" s="13" t="s">
        <v>34</v>
      </c>
      <c r="B6" s="14" t="s">
        <v>35</v>
      </c>
      <c r="C6" s="14">
        <v>5</v>
      </c>
      <c r="D6" s="14" t="s">
        <v>36</v>
      </c>
      <c r="E6" s="14" t="s">
        <v>37</v>
      </c>
      <c r="F6" s="14" t="s">
        <v>38</v>
      </c>
      <c r="G6" s="14" t="s">
        <v>39</v>
      </c>
      <c r="H6" s="15">
        <v>46170</v>
      </c>
      <c r="I6" s="14" t="s">
        <v>19</v>
      </c>
      <c r="J6" s="16" t="s">
        <v>20</v>
      </c>
      <c r="K6" s="14" t="s">
        <v>19</v>
      </c>
      <c r="L6" s="14" t="s">
        <v>19</v>
      </c>
      <c r="M6" s="14" t="s">
        <v>19</v>
      </c>
    </row>
    <row r="7" ht="60" customHeight="1" spans="1:13">
      <c r="A7" s="17"/>
      <c r="B7" s="14" t="s">
        <v>35</v>
      </c>
      <c r="C7" s="14">
        <v>6</v>
      </c>
      <c r="D7" s="14" t="s">
        <v>40</v>
      </c>
      <c r="E7" s="14" t="s">
        <v>41</v>
      </c>
      <c r="F7" s="14" t="s">
        <v>42</v>
      </c>
      <c r="G7" s="14" t="s">
        <v>43</v>
      </c>
      <c r="H7" s="15" t="s">
        <v>19</v>
      </c>
      <c r="I7" s="14" t="s">
        <v>19</v>
      </c>
      <c r="J7" s="19" t="s">
        <v>19</v>
      </c>
      <c r="K7" s="14" t="s">
        <v>19</v>
      </c>
      <c r="L7" s="14" t="s">
        <v>19</v>
      </c>
      <c r="M7" s="14" t="s">
        <v>19</v>
      </c>
    </row>
    <row r="8" ht="60" customHeight="1" spans="1:13">
      <c r="A8" s="17"/>
      <c r="B8" s="14" t="s">
        <v>44</v>
      </c>
      <c r="C8" s="14">
        <v>7</v>
      </c>
      <c r="D8" s="14" t="s">
        <v>45</v>
      </c>
      <c r="E8" s="14" t="s">
        <v>46</v>
      </c>
      <c r="F8" s="14" t="s">
        <v>47</v>
      </c>
      <c r="G8" s="14" t="s">
        <v>48</v>
      </c>
      <c r="H8" s="15" t="s">
        <v>19</v>
      </c>
      <c r="I8" s="14" t="s">
        <v>19</v>
      </c>
      <c r="J8" s="19" t="s">
        <v>19</v>
      </c>
      <c r="K8" s="14" t="s">
        <v>19</v>
      </c>
      <c r="L8" s="14" t="s">
        <v>19</v>
      </c>
      <c r="M8" s="14" t="s">
        <v>19</v>
      </c>
    </row>
    <row r="9" ht="60" customHeight="1" spans="1:13">
      <c r="A9" s="17"/>
      <c r="B9" s="14" t="s">
        <v>44</v>
      </c>
      <c r="C9" s="14">
        <v>8</v>
      </c>
      <c r="D9" s="14" t="s">
        <v>49</v>
      </c>
      <c r="E9" s="14" t="s">
        <v>50</v>
      </c>
      <c r="F9" s="14" t="s">
        <v>51</v>
      </c>
      <c r="G9" s="14" t="s">
        <v>52</v>
      </c>
      <c r="H9" s="15" t="s">
        <v>19</v>
      </c>
      <c r="I9" s="14" t="s">
        <v>19</v>
      </c>
      <c r="J9" s="19" t="s">
        <v>19</v>
      </c>
      <c r="K9" s="14" t="s">
        <v>19</v>
      </c>
      <c r="L9" s="14" t="s">
        <v>19</v>
      </c>
      <c r="M9" s="14" t="s">
        <v>19</v>
      </c>
    </row>
    <row r="10" ht="60" customHeight="1" spans="1:13">
      <c r="A10" s="17"/>
      <c r="B10" s="14" t="s">
        <v>44</v>
      </c>
      <c r="C10" s="14">
        <v>9</v>
      </c>
      <c r="D10" s="14" t="s">
        <v>53</v>
      </c>
      <c r="E10" s="14" t="s">
        <v>54</v>
      </c>
      <c r="F10" s="14" t="s">
        <v>55</v>
      </c>
      <c r="G10" s="14" t="s">
        <v>56</v>
      </c>
      <c r="H10" s="15" t="s">
        <v>19</v>
      </c>
      <c r="I10" s="14" t="s">
        <v>19</v>
      </c>
      <c r="J10" s="19" t="s">
        <v>19</v>
      </c>
      <c r="K10" s="14" t="s">
        <v>19</v>
      </c>
      <c r="L10" s="14" t="s">
        <v>19</v>
      </c>
      <c r="M10" s="14" t="s">
        <v>19</v>
      </c>
    </row>
    <row r="11" ht="60" customHeight="1" spans="1:13">
      <c r="A11" s="17"/>
      <c r="B11" s="14" t="s">
        <v>57</v>
      </c>
      <c r="C11" s="14">
        <v>10</v>
      </c>
      <c r="D11" s="14" t="s">
        <v>58</v>
      </c>
      <c r="E11" s="14" t="s">
        <v>59</v>
      </c>
      <c r="F11" s="14" t="s">
        <v>60</v>
      </c>
      <c r="G11" s="14" t="s">
        <v>61</v>
      </c>
      <c r="H11" s="15" t="s">
        <v>19</v>
      </c>
      <c r="I11" s="14" t="s">
        <v>19</v>
      </c>
      <c r="J11" s="19" t="s">
        <v>19</v>
      </c>
      <c r="K11" s="14" t="s">
        <v>19</v>
      </c>
      <c r="L11" s="14" t="s">
        <v>19</v>
      </c>
      <c r="M11" s="14" t="s">
        <v>19</v>
      </c>
    </row>
    <row r="12" ht="60" customHeight="1" spans="1:13">
      <c r="A12" s="17"/>
      <c r="B12" s="14" t="s">
        <v>57</v>
      </c>
      <c r="C12" s="14">
        <v>11</v>
      </c>
      <c r="D12" s="14" t="s">
        <v>62</v>
      </c>
      <c r="E12" s="14" t="s">
        <v>63</v>
      </c>
      <c r="F12" s="14" t="s">
        <v>64</v>
      </c>
      <c r="G12" s="14" t="s">
        <v>65</v>
      </c>
      <c r="H12" s="15" t="s">
        <v>19</v>
      </c>
      <c r="I12" s="14" t="s">
        <v>19</v>
      </c>
      <c r="J12" s="19" t="s">
        <v>19</v>
      </c>
      <c r="K12" s="14" t="s">
        <v>19</v>
      </c>
      <c r="L12" s="14" t="s">
        <v>19</v>
      </c>
      <c r="M12" s="14" t="s">
        <v>19</v>
      </c>
    </row>
    <row r="13" ht="60" customHeight="1" spans="1:13">
      <c r="A13" s="18"/>
      <c r="B13" s="14" t="s">
        <v>66</v>
      </c>
      <c r="C13" s="14">
        <v>12</v>
      </c>
      <c r="D13" s="14" t="s">
        <v>67</v>
      </c>
      <c r="E13" s="14" t="s">
        <v>68</v>
      </c>
      <c r="F13" s="14" t="s">
        <v>69</v>
      </c>
      <c r="G13" s="14" t="s">
        <v>70</v>
      </c>
      <c r="H13" s="15" t="s">
        <v>19</v>
      </c>
      <c r="I13" s="14" t="s">
        <v>19</v>
      </c>
      <c r="J13" s="19" t="s">
        <v>19</v>
      </c>
      <c r="K13" s="14" t="s">
        <v>19</v>
      </c>
      <c r="L13" s="14" t="s">
        <v>19</v>
      </c>
      <c r="M13" s="14" t="s">
        <v>19</v>
      </c>
    </row>
    <row r="14" ht="60" customHeight="1" spans="1:13">
      <c r="A14" s="13" t="s">
        <v>71</v>
      </c>
      <c r="B14" s="14" t="s">
        <v>72</v>
      </c>
      <c r="C14" s="14">
        <v>13</v>
      </c>
      <c r="D14" s="14" t="s">
        <v>73</v>
      </c>
      <c r="E14" s="14" t="s">
        <v>74</v>
      </c>
      <c r="F14" s="14" t="s">
        <v>75</v>
      </c>
      <c r="G14" s="14" t="s">
        <v>76</v>
      </c>
      <c r="H14" s="15" t="s">
        <v>19</v>
      </c>
      <c r="I14" s="14" t="s">
        <v>19</v>
      </c>
      <c r="J14" s="19" t="s">
        <v>19</v>
      </c>
      <c r="K14" s="14" t="s">
        <v>19</v>
      </c>
      <c r="L14" s="14" t="s">
        <v>19</v>
      </c>
      <c r="M14" s="14" t="s">
        <v>19</v>
      </c>
    </row>
    <row r="15" ht="60" customHeight="1" spans="1:13">
      <c r="A15" s="17"/>
      <c r="B15" s="14" t="s">
        <v>72</v>
      </c>
      <c r="C15" s="14">
        <v>14</v>
      </c>
      <c r="D15" s="14" t="s">
        <v>77</v>
      </c>
      <c r="E15" s="14" t="s">
        <v>78</v>
      </c>
      <c r="F15" s="14" t="s">
        <v>79</v>
      </c>
      <c r="G15" s="14" t="s">
        <v>80</v>
      </c>
      <c r="H15" s="15" t="s">
        <v>19</v>
      </c>
      <c r="I15" s="14" t="s">
        <v>19</v>
      </c>
      <c r="J15" s="19" t="s">
        <v>19</v>
      </c>
      <c r="K15" s="14" t="s">
        <v>19</v>
      </c>
      <c r="L15" s="14" t="s">
        <v>19</v>
      </c>
      <c r="M15" s="14" t="s">
        <v>19</v>
      </c>
    </row>
    <row r="16" ht="60" customHeight="1" spans="1:13">
      <c r="A16" s="17"/>
      <c r="B16" s="14" t="s">
        <v>72</v>
      </c>
      <c r="C16" s="14">
        <v>15</v>
      </c>
      <c r="D16" s="14" t="s">
        <v>81</v>
      </c>
      <c r="E16" s="14" t="s">
        <v>82</v>
      </c>
      <c r="F16" s="14" t="s">
        <v>83</v>
      </c>
      <c r="G16" s="14" t="s">
        <v>84</v>
      </c>
      <c r="H16" s="15" t="s">
        <v>19</v>
      </c>
      <c r="I16" s="14" t="s">
        <v>19</v>
      </c>
      <c r="J16" s="19" t="s">
        <v>19</v>
      </c>
      <c r="K16" s="14" t="s">
        <v>19</v>
      </c>
      <c r="L16" s="14" t="s">
        <v>19</v>
      </c>
      <c r="M16" s="14" t="s">
        <v>19</v>
      </c>
    </row>
    <row r="17" ht="60" customHeight="1" spans="1:13">
      <c r="A17" s="17"/>
      <c r="B17" s="14" t="s">
        <v>85</v>
      </c>
      <c r="C17" s="14">
        <v>16</v>
      </c>
      <c r="D17" s="14" t="s">
        <v>86</v>
      </c>
      <c r="E17" s="14" t="s">
        <v>87</v>
      </c>
      <c r="F17" s="14" t="s">
        <v>88</v>
      </c>
      <c r="G17" s="14" t="s">
        <v>89</v>
      </c>
      <c r="H17" s="15" t="s">
        <v>19</v>
      </c>
      <c r="I17" s="14" t="s">
        <v>19</v>
      </c>
      <c r="J17" s="19" t="s">
        <v>19</v>
      </c>
      <c r="K17" s="14" t="s">
        <v>19</v>
      </c>
      <c r="L17" s="14" t="s">
        <v>19</v>
      </c>
      <c r="M17" s="14" t="s">
        <v>19</v>
      </c>
    </row>
    <row r="18" ht="60" customHeight="1" spans="1:13">
      <c r="A18" s="17"/>
      <c r="B18" s="14" t="s">
        <v>85</v>
      </c>
      <c r="C18" s="14">
        <v>17</v>
      </c>
      <c r="D18" s="14" t="s">
        <v>90</v>
      </c>
      <c r="E18" s="14" t="s">
        <v>91</v>
      </c>
      <c r="F18" s="14" t="s">
        <v>92</v>
      </c>
      <c r="G18" s="14" t="s">
        <v>93</v>
      </c>
      <c r="H18" s="15" t="s">
        <v>19</v>
      </c>
      <c r="I18" s="14" t="s">
        <v>19</v>
      </c>
      <c r="J18" s="19" t="s">
        <v>19</v>
      </c>
      <c r="K18" s="14" t="s">
        <v>19</v>
      </c>
      <c r="L18" s="14" t="s">
        <v>19</v>
      </c>
      <c r="M18" s="14" t="s">
        <v>19</v>
      </c>
    </row>
    <row r="19" ht="60" customHeight="1" spans="1:13">
      <c r="A19" s="17"/>
      <c r="B19" s="14" t="s">
        <v>85</v>
      </c>
      <c r="C19" s="14">
        <v>18</v>
      </c>
      <c r="D19" s="14" t="s">
        <v>94</v>
      </c>
      <c r="E19" s="14" t="s">
        <v>95</v>
      </c>
      <c r="F19" s="14" t="s">
        <v>96</v>
      </c>
      <c r="G19" s="14" t="s">
        <v>97</v>
      </c>
      <c r="H19" s="15" t="s">
        <v>19</v>
      </c>
      <c r="I19" s="14" t="s">
        <v>19</v>
      </c>
      <c r="J19" s="19" t="s">
        <v>19</v>
      </c>
      <c r="K19" s="14" t="s">
        <v>19</v>
      </c>
      <c r="L19" s="14" t="s">
        <v>19</v>
      </c>
      <c r="M19" s="14" t="s">
        <v>19</v>
      </c>
    </row>
    <row r="20" ht="60" customHeight="1" spans="1:13">
      <c r="A20" s="17"/>
      <c r="B20" s="14" t="s">
        <v>98</v>
      </c>
      <c r="C20" s="14">
        <v>19</v>
      </c>
      <c r="D20" s="14" t="s">
        <v>99</v>
      </c>
      <c r="E20" s="14" t="s">
        <v>100</v>
      </c>
      <c r="F20" s="14" t="s">
        <v>101</v>
      </c>
      <c r="G20" s="14" t="s">
        <v>102</v>
      </c>
      <c r="H20" s="15" t="s">
        <v>19</v>
      </c>
      <c r="I20" s="14" t="s">
        <v>19</v>
      </c>
      <c r="J20" s="19" t="s">
        <v>19</v>
      </c>
      <c r="K20" s="14" t="s">
        <v>19</v>
      </c>
      <c r="L20" s="14" t="s">
        <v>19</v>
      </c>
      <c r="M20" s="14" t="s">
        <v>19</v>
      </c>
    </row>
    <row r="21" ht="60" customHeight="1" spans="1:13">
      <c r="A21" s="17"/>
      <c r="B21" s="14" t="s">
        <v>98</v>
      </c>
      <c r="C21" s="14">
        <v>20</v>
      </c>
      <c r="D21" s="14" t="s">
        <v>103</v>
      </c>
      <c r="E21" s="14" t="s">
        <v>104</v>
      </c>
      <c r="F21" s="14" t="s">
        <v>105</v>
      </c>
      <c r="G21" s="14" t="s">
        <v>106</v>
      </c>
      <c r="H21" s="15" t="s">
        <v>19</v>
      </c>
      <c r="I21" s="14" t="s">
        <v>19</v>
      </c>
      <c r="J21" s="19" t="s">
        <v>19</v>
      </c>
      <c r="K21" s="14" t="s">
        <v>19</v>
      </c>
      <c r="L21" s="14" t="s">
        <v>19</v>
      </c>
      <c r="M21" s="14" t="s">
        <v>19</v>
      </c>
    </row>
    <row r="22" ht="60" customHeight="1" spans="1:13">
      <c r="A22" s="18"/>
      <c r="B22" s="14" t="s">
        <v>107</v>
      </c>
      <c r="C22" s="14">
        <v>21</v>
      </c>
      <c r="D22" s="14" t="s">
        <v>108</v>
      </c>
      <c r="E22" s="14" t="s">
        <v>109</v>
      </c>
      <c r="F22" s="14" t="s">
        <v>110</v>
      </c>
      <c r="G22" s="14" t="s">
        <v>111</v>
      </c>
      <c r="H22" s="15" t="s">
        <v>19</v>
      </c>
      <c r="I22" s="14" t="s">
        <v>19</v>
      </c>
      <c r="J22" s="19" t="s">
        <v>19</v>
      </c>
      <c r="K22" s="14" t="s">
        <v>19</v>
      </c>
      <c r="L22" s="14" t="s">
        <v>19</v>
      </c>
      <c r="M22" s="14" t="s">
        <v>19</v>
      </c>
    </row>
    <row r="23" ht="60" customHeight="1" spans="1:13">
      <c r="A23" s="13" t="s">
        <v>112</v>
      </c>
      <c r="B23" s="14" t="s">
        <v>113</v>
      </c>
      <c r="C23" s="14">
        <v>22</v>
      </c>
      <c r="D23" s="14" t="s">
        <v>114</v>
      </c>
      <c r="E23" s="14" t="s">
        <v>115</v>
      </c>
      <c r="F23" s="14" t="s">
        <v>116</v>
      </c>
      <c r="G23" s="14" t="s">
        <v>117</v>
      </c>
      <c r="H23" s="15" t="s">
        <v>19</v>
      </c>
      <c r="I23" s="14" t="s">
        <v>19</v>
      </c>
      <c r="J23" s="19" t="s">
        <v>19</v>
      </c>
      <c r="K23" s="14" t="s">
        <v>19</v>
      </c>
      <c r="L23" s="14" t="s">
        <v>19</v>
      </c>
      <c r="M23" s="14" t="s">
        <v>19</v>
      </c>
    </row>
    <row r="24" ht="60" customHeight="1" spans="1:13">
      <c r="A24" s="17"/>
      <c r="B24" s="14" t="s">
        <v>113</v>
      </c>
      <c r="C24" s="14">
        <v>23</v>
      </c>
      <c r="D24" s="14" t="s">
        <v>118</v>
      </c>
      <c r="E24" s="14" t="s">
        <v>119</v>
      </c>
      <c r="F24" s="14" t="s">
        <v>120</v>
      </c>
      <c r="G24" s="14" t="s">
        <v>121</v>
      </c>
      <c r="H24" s="15" t="s">
        <v>19</v>
      </c>
      <c r="I24" s="14" t="s">
        <v>19</v>
      </c>
      <c r="J24" s="19" t="s">
        <v>19</v>
      </c>
      <c r="K24" s="14" t="s">
        <v>19</v>
      </c>
      <c r="L24" s="14" t="s">
        <v>19</v>
      </c>
      <c r="M24" s="14" t="s">
        <v>19</v>
      </c>
    </row>
    <row r="25" ht="60" customHeight="1" spans="1:13">
      <c r="A25" s="17"/>
      <c r="B25" s="14" t="s">
        <v>122</v>
      </c>
      <c r="C25" s="14">
        <v>24</v>
      </c>
      <c r="D25" s="14" t="s">
        <v>123</v>
      </c>
      <c r="E25" s="14" t="s">
        <v>124</v>
      </c>
      <c r="F25" s="14" t="s">
        <v>125</v>
      </c>
      <c r="G25" s="14" t="s">
        <v>126</v>
      </c>
      <c r="H25" s="15" t="s">
        <v>19</v>
      </c>
      <c r="I25" s="14" t="s">
        <v>19</v>
      </c>
      <c r="J25" s="19" t="s">
        <v>19</v>
      </c>
      <c r="K25" s="14" t="s">
        <v>19</v>
      </c>
      <c r="L25" s="14" t="s">
        <v>19</v>
      </c>
      <c r="M25" s="14" t="s">
        <v>19</v>
      </c>
    </row>
    <row r="26" ht="60" customHeight="1" spans="1:13">
      <c r="A26" s="17"/>
      <c r="B26" s="14" t="s">
        <v>122</v>
      </c>
      <c r="C26" s="14">
        <v>25</v>
      </c>
      <c r="D26" s="14" t="s">
        <v>127</v>
      </c>
      <c r="E26" s="14" t="s">
        <v>128</v>
      </c>
      <c r="F26" s="14" t="s">
        <v>129</v>
      </c>
      <c r="G26" s="14" t="s">
        <v>130</v>
      </c>
      <c r="H26" s="15" t="s">
        <v>19</v>
      </c>
      <c r="I26" s="14" t="s">
        <v>19</v>
      </c>
      <c r="J26" s="19" t="s">
        <v>19</v>
      </c>
      <c r="K26" s="14" t="s">
        <v>19</v>
      </c>
      <c r="L26" s="14" t="s">
        <v>19</v>
      </c>
      <c r="M26" s="14" t="s">
        <v>19</v>
      </c>
    </row>
    <row r="27" ht="60" customHeight="1" spans="1:13">
      <c r="A27" s="17"/>
      <c r="B27" s="14" t="s">
        <v>122</v>
      </c>
      <c r="C27" s="14">
        <v>26</v>
      </c>
      <c r="D27" s="14" t="s">
        <v>131</v>
      </c>
      <c r="E27" s="14" t="s">
        <v>132</v>
      </c>
      <c r="F27" s="14" t="s">
        <v>133</v>
      </c>
      <c r="G27" s="14" t="s">
        <v>134</v>
      </c>
      <c r="H27" s="15" t="s">
        <v>19</v>
      </c>
      <c r="I27" s="14" t="s">
        <v>19</v>
      </c>
      <c r="J27" s="19" t="s">
        <v>19</v>
      </c>
      <c r="K27" s="14" t="s">
        <v>19</v>
      </c>
      <c r="L27" s="14" t="s">
        <v>19</v>
      </c>
      <c r="M27" s="14" t="s">
        <v>19</v>
      </c>
    </row>
    <row r="28" ht="60" customHeight="1" spans="1:13">
      <c r="A28" s="17"/>
      <c r="B28" s="14" t="s">
        <v>135</v>
      </c>
      <c r="C28" s="14">
        <v>27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5" t="s">
        <v>19</v>
      </c>
      <c r="I28" s="14" t="s">
        <v>19</v>
      </c>
      <c r="J28" s="19" t="s">
        <v>19</v>
      </c>
      <c r="K28" s="14" t="s">
        <v>19</v>
      </c>
      <c r="L28" s="14" t="s">
        <v>19</v>
      </c>
      <c r="M28" s="14" t="s">
        <v>19</v>
      </c>
    </row>
    <row r="29" ht="60" customHeight="1" spans="1:13">
      <c r="A29" s="18"/>
      <c r="B29" s="14" t="s">
        <v>140</v>
      </c>
      <c r="C29" s="14">
        <v>28</v>
      </c>
      <c r="D29" s="14" t="s">
        <v>141</v>
      </c>
      <c r="E29" s="14" t="s">
        <v>142</v>
      </c>
      <c r="F29" s="14" t="s">
        <v>143</v>
      </c>
      <c r="G29" s="14" t="s">
        <v>144</v>
      </c>
      <c r="H29" s="15" t="s">
        <v>19</v>
      </c>
      <c r="I29" s="14" t="s">
        <v>19</v>
      </c>
      <c r="J29" s="19" t="s">
        <v>19</v>
      </c>
      <c r="K29" s="14" t="s">
        <v>19</v>
      </c>
      <c r="L29" s="14" t="s">
        <v>19</v>
      </c>
      <c r="M29" s="14" t="s">
        <v>19</v>
      </c>
    </row>
    <row r="30" ht="60" customHeight="1" spans="1:13">
      <c r="A30" s="13" t="s">
        <v>145</v>
      </c>
      <c r="B30" s="14" t="s">
        <v>146</v>
      </c>
      <c r="C30" s="14">
        <v>29</v>
      </c>
      <c r="D30" s="14" t="s">
        <v>147</v>
      </c>
      <c r="E30" s="14" t="s">
        <v>148</v>
      </c>
      <c r="F30" s="14" t="s">
        <v>149</v>
      </c>
      <c r="G30" s="14" t="s">
        <v>150</v>
      </c>
      <c r="H30" s="15" t="s">
        <v>19</v>
      </c>
      <c r="I30" s="14" t="s">
        <v>19</v>
      </c>
      <c r="J30" s="19" t="s">
        <v>19</v>
      </c>
      <c r="K30" s="14" t="s">
        <v>19</v>
      </c>
      <c r="L30" s="14" t="s">
        <v>19</v>
      </c>
      <c r="M30" s="14" t="s">
        <v>19</v>
      </c>
    </row>
    <row r="31" ht="60" customHeight="1" spans="1:13">
      <c r="A31" s="17"/>
      <c r="B31" s="14" t="s">
        <v>146</v>
      </c>
      <c r="C31" s="14">
        <v>30</v>
      </c>
      <c r="D31" s="14" t="s">
        <v>151</v>
      </c>
      <c r="E31" s="14" t="s">
        <v>152</v>
      </c>
      <c r="F31" s="14" t="s">
        <v>153</v>
      </c>
      <c r="G31" s="14" t="s">
        <v>154</v>
      </c>
      <c r="H31" s="15" t="s">
        <v>19</v>
      </c>
      <c r="I31" s="14" t="s">
        <v>19</v>
      </c>
      <c r="J31" s="19" t="s">
        <v>19</v>
      </c>
      <c r="K31" s="14" t="s">
        <v>19</v>
      </c>
      <c r="L31" s="14" t="s">
        <v>19</v>
      </c>
      <c r="M31" s="14" t="s">
        <v>19</v>
      </c>
    </row>
    <row r="32" ht="60" customHeight="1" spans="1:13">
      <c r="A32" s="17"/>
      <c r="B32" s="14" t="s">
        <v>146</v>
      </c>
      <c r="C32" s="14">
        <v>31</v>
      </c>
      <c r="D32" s="14" t="s">
        <v>155</v>
      </c>
      <c r="E32" s="14" t="s">
        <v>156</v>
      </c>
      <c r="F32" s="14" t="s">
        <v>157</v>
      </c>
      <c r="G32" s="14" t="s">
        <v>158</v>
      </c>
      <c r="H32" s="15" t="s">
        <v>19</v>
      </c>
      <c r="I32" s="14" t="s">
        <v>19</v>
      </c>
      <c r="J32" s="19" t="s">
        <v>19</v>
      </c>
      <c r="K32" s="14" t="s">
        <v>19</v>
      </c>
      <c r="L32" s="14" t="s">
        <v>19</v>
      </c>
      <c r="M32" s="14" t="s">
        <v>19</v>
      </c>
    </row>
    <row r="33" ht="60" customHeight="1" spans="1:13">
      <c r="A33" s="17"/>
      <c r="B33" s="14" t="s">
        <v>159</v>
      </c>
      <c r="C33" s="14">
        <v>32</v>
      </c>
      <c r="D33" s="14" t="s">
        <v>160</v>
      </c>
      <c r="E33" s="14" t="s">
        <v>161</v>
      </c>
      <c r="F33" s="14" t="s">
        <v>162</v>
      </c>
      <c r="G33" s="14" t="s">
        <v>163</v>
      </c>
      <c r="H33" s="15" t="s">
        <v>19</v>
      </c>
      <c r="I33" s="14" t="s">
        <v>19</v>
      </c>
      <c r="J33" s="19" t="s">
        <v>19</v>
      </c>
      <c r="K33" s="14" t="s">
        <v>19</v>
      </c>
      <c r="L33" s="14" t="s">
        <v>19</v>
      </c>
      <c r="M33" s="14" t="s">
        <v>19</v>
      </c>
    </row>
    <row r="34" ht="60" customHeight="1" spans="1:13">
      <c r="A34" s="17"/>
      <c r="B34" s="14" t="s">
        <v>159</v>
      </c>
      <c r="C34" s="14">
        <v>33</v>
      </c>
      <c r="D34" s="14" t="s">
        <v>164</v>
      </c>
      <c r="E34" s="14" t="s">
        <v>165</v>
      </c>
      <c r="F34" s="14" t="s">
        <v>166</v>
      </c>
      <c r="G34" s="14" t="s">
        <v>167</v>
      </c>
      <c r="H34" s="15" t="s">
        <v>19</v>
      </c>
      <c r="I34" s="14" t="s">
        <v>19</v>
      </c>
      <c r="J34" s="19" t="s">
        <v>19</v>
      </c>
      <c r="K34" s="14" t="s">
        <v>19</v>
      </c>
      <c r="L34" s="14" t="s">
        <v>19</v>
      </c>
      <c r="M34" s="14" t="s">
        <v>19</v>
      </c>
    </row>
    <row r="35" ht="60" customHeight="1" spans="1:13">
      <c r="A35" s="18"/>
      <c r="B35" s="14" t="s">
        <v>168</v>
      </c>
      <c r="C35" s="14">
        <v>34</v>
      </c>
      <c r="D35" s="14" t="s">
        <v>169</v>
      </c>
      <c r="E35" s="14" t="s">
        <v>170</v>
      </c>
      <c r="F35" s="14" t="s">
        <v>171</v>
      </c>
      <c r="G35" s="14" t="s">
        <v>172</v>
      </c>
      <c r="H35" s="15" t="s">
        <v>19</v>
      </c>
      <c r="I35" s="14" t="s">
        <v>19</v>
      </c>
      <c r="J35" s="19" t="s">
        <v>19</v>
      </c>
      <c r="K35" s="14" t="s">
        <v>19</v>
      </c>
      <c r="L35" s="14" t="s">
        <v>19</v>
      </c>
      <c r="M35" s="14" t="s">
        <v>19</v>
      </c>
    </row>
  </sheetData>
  <autoFilter xmlns:etc="http://www.wps.cn/officeDocument/2017/etCustomData" ref="A1:M35" etc:filterBottomFollowUsedRange="0">
    <extLst/>
  </autoFilter>
  <mergeCells count="5">
    <mergeCell ref="A2:A5"/>
    <mergeCell ref="A6:A13"/>
    <mergeCell ref="A14:A22"/>
    <mergeCell ref="A23:A29"/>
    <mergeCell ref="A30:A3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 outlineLevelCol="7"/>
  <cols>
    <col min="1" max="1" width="28" customWidth="1"/>
    <col min="2" max="2" width="12" customWidth="1"/>
    <col min="3" max="6" width="10" customWidth="1"/>
    <col min="7" max="7" width="12" customWidth="1"/>
    <col min="8" max="8" width="20" customWidth="1"/>
  </cols>
  <sheetData>
    <row r="1" ht="17" spans="1:8">
      <c r="A1" s="4" t="s">
        <v>0</v>
      </c>
      <c r="B1" s="4" t="s">
        <v>173</v>
      </c>
      <c r="C1" s="4" t="s">
        <v>174</v>
      </c>
      <c r="D1" s="4" t="s">
        <v>175</v>
      </c>
      <c r="E1" s="4" t="s">
        <v>176</v>
      </c>
      <c r="F1" s="4" t="s">
        <v>177</v>
      </c>
      <c r="G1" s="4" t="s">
        <v>178</v>
      </c>
      <c r="H1" s="4" t="s">
        <v>12</v>
      </c>
    </row>
    <row r="2" spans="1:8">
      <c r="A2" s="5" t="s">
        <v>13</v>
      </c>
      <c r="B2" s="5">
        <v>4</v>
      </c>
      <c r="C2" s="5">
        <v>0</v>
      </c>
      <c r="D2" s="5">
        <v>0</v>
      </c>
      <c r="E2" s="5">
        <v>4</v>
      </c>
      <c r="F2" s="6">
        <f t="shared" ref="F2:F8" si="0">IF(B2=0,"",C2/B2)</f>
        <v>0</v>
      </c>
      <c r="G2" s="5">
        <v>0</v>
      </c>
      <c r="H2" s="5" t="s">
        <v>19</v>
      </c>
    </row>
    <row r="3" spans="1:8">
      <c r="A3" s="5" t="s">
        <v>179</v>
      </c>
      <c r="B3" s="5">
        <v>8</v>
      </c>
      <c r="C3" s="5">
        <v>0</v>
      </c>
      <c r="D3" s="5">
        <v>0</v>
      </c>
      <c r="E3" s="5">
        <v>8</v>
      </c>
      <c r="F3" s="6">
        <f t="shared" si="0"/>
        <v>0</v>
      </c>
      <c r="G3" s="5">
        <v>0</v>
      </c>
      <c r="H3" s="5" t="s">
        <v>19</v>
      </c>
    </row>
    <row r="4" spans="1:8">
      <c r="A4" s="5" t="s">
        <v>180</v>
      </c>
      <c r="B4" s="5">
        <v>9</v>
      </c>
      <c r="C4" s="5">
        <v>0</v>
      </c>
      <c r="D4" s="5">
        <v>0</v>
      </c>
      <c r="E4" s="5">
        <v>9</v>
      </c>
      <c r="F4" s="6">
        <f t="shared" si="0"/>
        <v>0</v>
      </c>
      <c r="G4" s="5">
        <v>0</v>
      </c>
      <c r="H4" s="5" t="s">
        <v>19</v>
      </c>
    </row>
    <row r="5" spans="1:8">
      <c r="A5" s="5" t="s">
        <v>181</v>
      </c>
      <c r="B5" s="5">
        <v>7</v>
      </c>
      <c r="C5" s="5">
        <v>0</v>
      </c>
      <c r="D5" s="5">
        <v>0</v>
      </c>
      <c r="E5" s="5">
        <v>7</v>
      </c>
      <c r="F5" s="6">
        <f t="shared" si="0"/>
        <v>0</v>
      </c>
      <c r="G5" s="5">
        <v>0</v>
      </c>
      <c r="H5" s="5" t="s">
        <v>19</v>
      </c>
    </row>
    <row r="6" spans="1:8">
      <c r="A6" s="5" t="s">
        <v>182</v>
      </c>
      <c r="B6" s="5">
        <v>0</v>
      </c>
      <c r="C6" s="5">
        <v>0</v>
      </c>
      <c r="D6" s="5">
        <v>0</v>
      </c>
      <c r="E6" s="5">
        <v>0</v>
      </c>
      <c r="F6" s="6" t="str">
        <f t="shared" si="0"/>
        <v/>
      </c>
      <c r="G6" s="5">
        <v>0</v>
      </c>
      <c r="H6" s="5" t="s">
        <v>19</v>
      </c>
    </row>
    <row r="7" spans="1:8">
      <c r="A7" s="5" t="s">
        <v>183</v>
      </c>
      <c r="B7" s="5">
        <v>0</v>
      </c>
      <c r="C7" s="5">
        <v>0</v>
      </c>
      <c r="D7" s="5">
        <v>0</v>
      </c>
      <c r="E7" s="5">
        <v>0</v>
      </c>
      <c r="F7" s="6" t="str">
        <f t="shared" si="0"/>
        <v/>
      </c>
      <c r="G7" s="5">
        <v>0</v>
      </c>
      <c r="H7" s="5" t="s">
        <v>19</v>
      </c>
    </row>
    <row r="8" spans="1:8">
      <c r="A8" s="3" t="s">
        <v>183</v>
      </c>
      <c r="B8" s="7">
        <v>28</v>
      </c>
      <c r="C8" s="7">
        <f>SUM(C2:C7)</f>
        <v>0</v>
      </c>
      <c r="D8" s="7">
        <f>SUM(D2:D7)</f>
        <v>0</v>
      </c>
      <c r="E8" s="7">
        <f>SUM(E2:E7)</f>
        <v>28</v>
      </c>
      <c r="F8" s="8">
        <f t="shared" si="0"/>
        <v>0</v>
      </c>
      <c r="G8" s="7"/>
      <c r="H8" s="7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"/>
  <sheetViews>
    <sheetView workbookViewId="0">
      <selection activeCell="A1" sqref="A1"/>
    </sheetView>
  </sheetViews>
  <sheetFormatPr defaultColWidth="9" defaultRowHeight="16.8"/>
  <cols>
    <col min="1" max="1" width="60" customWidth="1"/>
  </cols>
  <sheetData>
    <row r="1" ht="20.4" spans="1:1">
      <c r="A1" s="1" t="s">
        <v>184</v>
      </c>
    </row>
    <row r="2" spans="1:1">
      <c r="A2" s="2" t="s">
        <v>19</v>
      </c>
    </row>
    <row r="3" spans="1:1">
      <c r="A3" s="3" t="s">
        <v>185</v>
      </c>
    </row>
    <row r="4" spans="1:1">
      <c r="A4" s="2" t="s">
        <v>186</v>
      </c>
    </row>
    <row r="5" spans="1:1">
      <c r="A5" s="2" t="s">
        <v>187</v>
      </c>
    </row>
    <row r="6" spans="1:1">
      <c r="A6" s="2" t="s">
        <v>188</v>
      </c>
    </row>
    <row r="7" spans="1:1">
      <c r="A7" s="2" t="s">
        <v>189</v>
      </c>
    </row>
    <row r="8" spans="1:1">
      <c r="A8" s="2" t="s">
        <v>190</v>
      </c>
    </row>
    <row r="9" spans="1:1">
      <c r="A9" s="2" t="s">
        <v>191</v>
      </c>
    </row>
    <row r="10" spans="1:1">
      <c r="A10" s="2" t="s">
        <v>192</v>
      </c>
    </row>
    <row r="11" spans="1:1">
      <c r="A11" s="2" t="s">
        <v>193</v>
      </c>
    </row>
    <row r="12" spans="1:1">
      <c r="A12" s="2" t="s">
        <v>194</v>
      </c>
    </row>
    <row r="13" spans="1:1">
      <c r="A13" s="2" t="s">
        <v>19</v>
      </c>
    </row>
    <row r="14" spans="1:1">
      <c r="A14" s="3" t="s">
        <v>195</v>
      </c>
    </row>
    <row r="15" spans="1:1">
      <c r="A15" s="2" t="s">
        <v>196</v>
      </c>
    </row>
    <row r="16" spans="1:1">
      <c r="A16" s="2" t="s">
        <v>197</v>
      </c>
    </row>
    <row r="17" spans="1:1">
      <c r="A17" s="2" t="s">
        <v>198</v>
      </c>
    </row>
    <row r="18" spans="1:1">
      <c r="A18" s="2" t="s">
        <v>19</v>
      </c>
    </row>
    <row r="19" spans="1:1">
      <c r="A19" s="3" t="s">
        <v>199</v>
      </c>
    </row>
    <row r="20" spans="1:1">
      <c r="A20" s="2" t="s">
        <v>200</v>
      </c>
    </row>
    <row r="21" spans="1:1">
      <c r="A21" s="2" t="s">
        <v>201</v>
      </c>
    </row>
    <row r="22" spans="1:1">
      <c r="A22" s="2" t="s">
        <v>202</v>
      </c>
    </row>
    <row r="23" spans="1:1">
      <c r="A23" s="2" t="s">
        <v>203</v>
      </c>
    </row>
    <row r="24" spans="1:1">
      <c r="A24" s="2" t="s">
        <v>19</v>
      </c>
    </row>
    <row r="25" spans="1:1">
      <c r="A25" s="3" t="s">
        <v>204</v>
      </c>
    </row>
    <row r="26" spans="1:1">
      <c r="A26" s="2" t="s">
        <v>205</v>
      </c>
    </row>
    <row r="27" spans="1:1">
      <c r="A27" s="2" t="s">
        <v>206</v>
      </c>
    </row>
    <row r="28" spans="1:1">
      <c r="A28" s="2" t="s">
        <v>207</v>
      </c>
    </row>
    <row r="29" spans="1:1">
      <c r="A29" s="2" t="s">
        <v>208</v>
      </c>
    </row>
    <row r="30" spans="1:1">
      <c r="A30" s="2" t="s">
        <v>209</v>
      </c>
    </row>
    <row r="31" spans="1:1">
      <c r="A31" s="2" t="s">
        <v>210</v>
      </c>
    </row>
    <row r="32" spans="1:1">
      <c r="A32" s="2" t="s">
        <v>19</v>
      </c>
    </row>
    <row r="33" spans="1:1">
      <c r="A33" s="2" t="s">
        <v>211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学习打卡表</vt:lpstr>
      <vt:lpstr>进度统计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田祎</cp:lastModifiedBy>
  <dcterms:created xsi:type="dcterms:W3CDTF">2026-05-28T11:40:00Z</dcterms:created>
  <dcterms:modified xsi:type="dcterms:W3CDTF">2026-05-28T16:04:45Z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B58DF6A68A6A6A641DF7176ACBF03D4A_42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